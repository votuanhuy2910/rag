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UEH\Downloads\17. Đề án tốt nghiệp\rag\"/>
    </mc:Choice>
  </mc:AlternateContent>
  <xr:revisionPtr revIDLastSave="0" documentId="13_ncr:1_{E8317D39-8896-465B-BAB7-60D83D367835}" xr6:coauthVersionLast="46" xr6:coauthVersionMax="47" xr10:uidLastSave="{00000000-0000-0000-0000-000000000000}"/>
  <bookViews>
    <workbookView xWindow="-120" yWindow="-120" windowWidth="29040" windowHeight="15840" xr2:uid="{00000000-000D-0000-FFFF-FFFF00000000}"/>
  </bookViews>
  <sheets>
    <sheet name="Sheet" sheetId="1" r:id="rId1"/>
  </sheets>
  <calcPr calcId="191029"/>
</workbook>
</file>

<file path=xl/calcChain.xml><?xml version="1.0" encoding="utf-8"?>
<calcChain xmlns="http://schemas.openxmlformats.org/spreadsheetml/2006/main">
  <c r="K22" i="1" l="1"/>
  <c r="K20" i="1"/>
  <c r="K21" i="1"/>
  <c r="H21" i="1"/>
  <c r="H22" i="1"/>
  <c r="H23" i="1"/>
  <c r="H24" i="1"/>
  <c r="H25" i="1"/>
  <c r="H26" i="1"/>
  <c r="H27" i="1"/>
  <c r="H28" i="1"/>
  <c r="H29" i="1"/>
  <c r="H30" i="1"/>
  <c r="H31" i="1"/>
  <c r="H32" i="1"/>
  <c r="H33" i="1"/>
  <c r="H34" i="1"/>
  <c r="H35" i="1"/>
  <c r="H20" i="1"/>
  <c r="F2" i="1"/>
  <c r="F17" i="1"/>
  <c r="F3" i="1"/>
  <c r="F4" i="1"/>
  <c r="F5" i="1"/>
  <c r="F6" i="1"/>
  <c r="F7" i="1"/>
  <c r="F8" i="1"/>
  <c r="F9" i="1"/>
  <c r="F10" i="1"/>
  <c r="F11" i="1"/>
  <c r="F12" i="1"/>
  <c r="F13" i="1"/>
  <c r="F14" i="1"/>
  <c r="F15" i="1"/>
  <c r="F16" i="1"/>
</calcChain>
</file>

<file path=xl/sharedStrings.xml><?xml version="1.0" encoding="utf-8"?>
<sst xmlns="http://schemas.openxmlformats.org/spreadsheetml/2006/main" count="79" uniqueCount="58">
  <si>
    <t>Chiến lược kinh doanh thương mại điện tử</t>
  </si>
  <si>
    <t>nhom1.pdf</t>
  </si>
  <si>
    <t>nhom5.pdf</t>
  </si>
  <si>
    <t>nhom6.pdf</t>
  </si>
  <si>
    <t>7.8</t>
  </si>
  <si>
    <t>Hệ thống thanh toán điện tử</t>
  </si>
  <si>
    <t>nhom2.pdf</t>
  </si>
  <si>
    <t>Marketing kỹ thuật số</t>
  </si>
  <si>
    <t>nhom4.pdf</t>
  </si>
  <si>
    <t>Quản trị dự án thương mại điện tử</t>
  </si>
  <si>
    <t>nhom3.pdf</t>
  </si>
  <si>
    <t>Thương mại điện tử</t>
  </si>
  <si>
    <t>7.5</t>
  </si>
  <si>
    <t>7.6</t>
  </si>
  <si>
    <t>ten_mon_hoc</t>
  </si>
  <si>
    <t>filename</t>
  </si>
  <si>
    <t>content_essays</t>
  </si>
  <si>
    <t>diem_thuc_te</t>
  </si>
  <si>
    <t>diem_mo_hinh_rag_test</t>
  </si>
  <si>
    <t>ĐẠI HỌC KINH TẾ TP. HỒ CHÍ MINH  
TRƯỜNG CÔNG NGHỆ VÀ THIẾT KẾ UEH 
KHOA CÔNG NGHỆ THÔNG TIN KINH DOANH 
Báo cáo cuối kỳ 
XÂY DỰNG CHIẾN LƯỢC GIÁ CHO SẢN PHẨM  
ROBOT HÚT BỤI ZBOT 
Bộ môn : Chiến lược kinh doanh Thương mại điện tử 
Giảng viên hướng dẫn  
 :  TS. Nguyễn Thành Huy 
M...</t>
  </si>
  <si>
    <t>5.0</t>
  </si>
  <si>
    <t xml:space="preserve"> 
BỘ GIÁO DỤC VÀ ĐÀO TẠO 
TRƯỜNG KINH DOANH 
KHOA CÔNG NGHỆ THÔNG TIN KINH DOANH 
BÁO CÁO CUỐI KỲ MÔN HỌC: 
CHIẾN LƯỢC KINH DOANH THƯƠNG MẠI ĐIỆN TỬ 
Tên đề tài: XÂY DỰNG CHIẾN LƯỢC KINH DOANH THƯƠNG MẠI 
ĐIỆN TỬ CHO CÔNG TY SẢN PHẨM THÚ CƯNG PETTIES THÔNG 
QUA MARKETING VÀ PROMOTIO...</t>
  </si>
  <si>
    <t>4</t>
  </si>
  <si>
    <t xml:space="preserve"> 
ĐẠI HỌC KINH TẾ TP. HỒ CHÍ MINH 
KHOA CÔNG NGHỆ THÔNG TIN KINH DOANH 
BÁO CÁO ĐỒ ÁN KẾT THÚC HỌC PHẦN 
CHIẾN LƯỢC KINH DOANH THƯƠNG MẠI ĐIỆN TỬ 
Đề tài:  Xây dựng chiến lược kinh doanh thương mại điện tử cho 
sản phẩm Yến sào - NCK 
Giảng viên hướng dẫn: 
TS. Nguyễn Thành Huy 
Mã LHP: 
23C1INF50...</t>
  </si>
  <si>
    <t>7.3</t>
  </si>
  <si>
    <t>ĐẠI HỌC UEH
TRƯỜNG CÔNG NGHỆ VÀ THIẾT KẾ
KHOA CÔNG NGHỆ THÔNG TIN KINH DOANH
BỘ MÔN HỆ THỐNG THANH TOÁN ĐIỆN TỬ
BÁO CÁO ĐỒ ÁN HỌC PHẦN HỆ THỐNG THANH TOÁN ĐIỆN TỬ
Đề Tài: Phân tích hệ thống thanh toán NAPAS
Giảng viên hướng dẫn : Nguyễn Thành Huy
Mã học phần : 24D1INF50903001
Thực hiện bởi : Nhóm 2
...</t>
  </si>
  <si>
    <t xml:space="preserve"> 
ĐẠI HỌC KINH TẾ TP. HỒ CHÍ MINH 
TRƯỜNG CÔNG NGHỆ VÀ THIẾT KẾ 
KHOA CÔNG NGHỆ THÔNG TIN KINH DOANH 
BỘ MÔN HỆ THỐNG THANH TOÁN ĐIỆN TỬ 
BÁO CÁO DỰ ÁN 
HỆ THỐNG THANH TOÁN ĐIỆN TỬ 
Đề tài: TÌM HIỂU HỆ THỐNG SMART BANKING TRONG THANH TOÁN 
ĐIỆN TỬ TẠI VIỆT NAM 
GVHD: TS. NGUYỄN THÀNH HUY 
...</t>
  </si>
  <si>
    <t>5.1</t>
  </si>
  <si>
    <t xml:space="preserve">  
Hồ Chí Minh, ngày 31 tháng 10 năm 2024 
ĐẠI HỌC KINH TẾ TP. HỒ CHÍ MINH 
TRƯỜNG CÔNG NGHỆ VÀ THIẾT KẾ 
| KHOA CÔNG NGHỆ THÔNG TIN KINH DOANH 
Học phần: MARKETING KỸ THUẬT SỐ 
Mã lớp học phần: 24C1INF50903201 
Giảng viên hướng dẫn: TS. Nguyễn Thành Huy 
Nhóm sinh viên thực ...</t>
  </si>
  <si>
    <t xml:space="preserve"> 
0 
Chiến lược Digital Marketing 
Sản phẩm: Máy tính khoa học FLEXIO FX799VN
BÁO CÁO CUỐI KỲ
ĐẠI HỌC KINH TẾ TP. HỒ CHÍ MINH 
TRƯỜNG CÔNG NGHỆ VÀ THIẾT KẾ  
| KHOA CÔNG NGHỆ THÔNG TIN KINH DOANH 
Môn học:  
Giảng viên hướng dẫn:  
Sinh viên thực hiện: 
Lớp: 
MSSV: 
 ...</t>
  </si>
  <si>
    <t>7.2</t>
  </si>
  <si>
    <t>​
ĐẠI HỌC KINH TẾ TP. HỒ CHÍ MINH (UEH) 
BÁO CÁO ĐỒ ÁN HỌC PHẦN​
 QUẢN LÝ DỰ ÁN THƯƠNG MẠI ĐIỆN TỬ 
Đề tài: DỰ ÁN XÂY DỰNG WEBSITE DU LỊCH​
TÍCH HỢP ADIVAHA 
GVHD: TS. NGUYỄN THÀNH HUY 
​
Nhóm thực hiện: Nhom_03 
​
Tiêu Đình Trung​
88224020326 
​
Trần Đỗ Huy Hoàng​ 88224020328 
​
Bùi T...</t>
  </si>
  <si>
    <t>02_nhom9.pdf</t>
  </si>
  <si>
    <t xml:space="preserve"> 
2
BỘ GIÁO DỤC VÀ ĐÀO TẠO 
ĐẠI HỌC KINH TẾ TP. HỒ CHÍ MINH 
TIỂU LUẬN THUYẾT TRÌNH 
THƯƠNG MẠI ĐIỆN TỬ 
PHÂN TÍCH MÔ HÌNH KINH DOANH CỦA  
SÀN THƯƠNG MẠI ĐIỆN TỬ SHOPEEFOOD 
TÊN GIẢNG VIÊN : TS. Nguyễn Thành Huy 
MÃ HỌC PHẦN      : 25D1INF50901302 
NHÓM                      : I...</t>
  </si>
  <si>
    <t>02_nhom10.pdf</t>
  </si>
  <si>
    <t xml:space="preserve"> 
BỘ GIÁO DỤC &amp; ĐÀO TẠO 
ĐẠI HỌC KINH TẾ TPHCM 
KHOA QUẢN TRỊ 
TIỂU LUẬN KẾT THÚC HỌC PHẦN 
MÔN HỌC: THƯƠNG MẠI ĐIỆN TỬ 
Mã lớp HP: 25D1INF50901302 – Nhóm J 
Sinh viên thực hiện: Đinh Văn Đức – 31221022794 (Leader) 
Nguyễn Thị Mỹ Duyên – 31221022909 
Nguyễn Thị Mỹ Hà ...</t>
  </si>
  <si>
    <t>03_nhom1.pdf</t>
  </si>
  <si>
    <t>1 
ĐẠI HỌC UEH 
TRƯỜNG KINH DOANH 
TIỂU LUẬN KẾT THÚC HỌC PHẦN 
Môn học: Thương mại điện tử 
Giảng viên dạy: GV Nguyễn Thành Huy 
Mã LHP: 24D1INF50901303 
TP.HCM, ngày 11 tháng 05 năm 2024 
2 
SINH VIÊN THAM GIA LÀM TIỂU LUẬN 
Họ và tên 
MSSV 
Phần trăm tham gia 
Lưu...</t>
  </si>
  <si>
    <t>6.8</t>
  </si>
  <si>
    <t>03_nhom3.pdf</t>
  </si>
  <si>
    <t xml:space="preserve"> 
ĐẠI HỌC UEH 
TRƯỜNG CÔNG NGHỆ VÀ THIẾT KẾ 
KHOA CÔNG NGHỆ THÔNG TIN KINH DOANH 
--------***-------- 
BÁO CÁO CUỐI KỲ 
MÔN HỌC: THƯƠNG MẠI ĐIỆN TỬ 
ĐỀ TÀI: TRIỂN KHAI DỰ ÁN HỘP HÁO HỨC TRÊN ODOO 
TP. Hồ Chí Minh, ngày 12 tháng 5 năm 2024 
Giảng viên giảng dạy : TS...</t>
  </si>
  <si>
    <t>03_nhom6.pdf</t>
  </si>
  <si>
    <t xml:space="preserve"> 
BỘ GIÁO DỤC VÀ ĐÀO TẠO 
ĐẠI HỌC KINH TẾ TP. HCM 
---o0o--- 
KHOA QUẢN TRỊ 
THƯƠNG MẠI ĐIỆN TỬ 
ĐỀ TÀI: NỀN TẢNG ĐẶT NƠI LƯU TRÚ TẠI CÁC 
ĐỊA ĐIỂM DU LỊCH Ở VIỆT NAM 
NHÓM: F 
Thành phố Hồ Chí Minh, 2024 
Thông tin các thành viên  
STT ...</t>
  </si>
  <si>
    <t>04_nhom4.pdf</t>
  </si>
  <si>
    <t xml:space="preserve"> 
TRƯỜNG ĐẠI HỌC KINH TẾ TP. HỒ CHÍ MINH 
NGÀNH QUẢN TRỊ 
---------- 
THƯƠNG MẠI ĐIỆN TỬ 
DỰ ÁN  
SHADERSHACK - CARD ĐỒ HỌA NVIDIA 
NHÓM: E 
GIẢNG VIÊN: Nguyễn Thành Huy 
LHP: 24D1INF50901304 
MỤC LỤC 
DANH SÁCH THÀNH VIÊN NHÓM E ...................................</t>
  </si>
  <si>
    <t>6.2</t>
  </si>
  <si>
    <t>04_nhom5.pdf</t>
  </si>
  <si>
    <t>1 
ĐẠI HỌC UEH 
TRƯỜNG KINH DOANH 
KHOA QUẢN TRỊ 
NHÓM F  
BÁO CÁO CUỐI KỲ 
Giảng viên:  
TS. Nguyễn Thành Huy   
Mã học phần:  
24D1INF50901304 
Môn học:   
Thương mại điện tử 
TP Hồ Chí Minh, ngày 8 tháng 5 năm 2024 
1 
NHÓM F – DANH SÁCH THÀNH VIÊN 
 ...</t>
  </si>
  <si>
    <t>04_nhom6.pdf</t>
  </si>
  <si>
    <t xml:space="preserve"> 
ĐẠI HỌC UEH 
TIỂU LUẬN 
Môn học: Thương mại điện tử 
KẾ HOẠCH KINH DOANH THƯƠNG MẠI ĐIỆN TỬ GRABMART   
Giảng viên: 
Nguyễn Thành Huy  
Mã lớp học phần:  24D1INF50901304 
Sinh viên:     
Trà Hồng Đoan Nhi - 31211020138 - nhóm trưởng 
Nguyễn Thị Hồng Nhung - 31211027984 
Nguyễn Thị Quỳnh Như - ...</t>
  </si>
  <si>
    <t>GIỎI</t>
  </si>
  <si>
    <t>&gt;8</t>
  </si>
  <si>
    <t>KHÁ</t>
  </si>
  <si>
    <t>6.5-7.9</t>
  </si>
  <si>
    <t>TRUNG BÌNH</t>
  </si>
  <si>
    <t>5-6.4</t>
  </si>
  <si>
    <t>YẾU</t>
  </si>
  <si>
    <t>&lt;5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</si>
</sst>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49"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
  <sheetViews>
    <sheetView tabSelected="1" zoomScaleNormal="100" workbookViewId="0">
      <selection activeCell="E14" sqref="E14"/>
    </sheetView>
  </sheetViews>
  <sheetFormatPr defaultRowHeight="15" x14ac:dyDescent="0.25"/>
  <cols>
    <col min="1" max="1" width="39.42578125" bestFit="1" customWidth="1"/>
    <col min="2" max="2" width="13.85546875" bestFit="1" customWidth="1"/>
    <col min="3" max="3" width="51.5703125" customWidth="1"/>
    <col min="4" max="4" width="23" style="1" bestFit="1" customWidth="1"/>
    <col min="5" max="5" width="13.42578125" style="1" bestFit="1" customWidth="1"/>
    <col min="6" max="8" width="12" bestFit="1" customWidth="1"/>
    <col min="10" max="10" width="12" bestFit="1" customWidth="1"/>
  </cols>
  <sheetData>
    <row r="1" spans="1:10" x14ac:dyDescent="0.25">
      <c r="A1" t="s">
        <v>14</v>
      </c>
      <c r="B1" t="s">
        <v>15</v>
      </c>
      <c r="C1" t="s">
        <v>16</v>
      </c>
      <c r="D1" s="1" t="s">
        <v>18</v>
      </c>
      <c r="E1" s="1" t="s">
        <v>17</v>
      </c>
      <c r="H1" t="s">
        <v>50</v>
      </c>
      <c r="I1" t="s">
        <v>51</v>
      </c>
    </row>
    <row r="2" spans="1:10" x14ac:dyDescent="0.25">
      <c r="A2" t="s">
        <v>0</v>
      </c>
      <c r="B2" t="s">
        <v>1</v>
      </c>
      <c r="C2" t="s">
        <v>19</v>
      </c>
      <c r="D2" s="2" t="s">
        <v>20</v>
      </c>
      <c r="E2" s="1">
        <v>7</v>
      </c>
      <c r="F2" t="str">
        <f>IF(E2&gt;8,"GIỎI", IF(E2&gt;=6.5,"KHÁ", IF(E2&gt;=5,"TRUNG BÌNH","YẾU")))</f>
        <v>KHÁ</v>
      </c>
      <c r="H2" t="s">
        <v>52</v>
      </c>
      <c r="I2" t="s">
        <v>53</v>
      </c>
      <c r="J2">
        <v>14</v>
      </c>
    </row>
    <row r="3" spans="1:10" x14ac:dyDescent="0.25">
      <c r="A3" t="s">
        <v>0</v>
      </c>
      <c r="B3" t="s">
        <v>2</v>
      </c>
      <c r="C3" t="s">
        <v>21</v>
      </c>
      <c r="D3" s="2" t="s">
        <v>22</v>
      </c>
      <c r="E3" s="1">
        <v>6.5</v>
      </c>
      <c r="F3" t="str">
        <f t="shared" ref="F3:F17" si="0">IF(E3&gt;8,"GIỎI", IF(E3&gt;=6.5,"KHÁ", IF(E3&gt;=5,"TRUNG BÌNH","YẾU")))</f>
        <v>KHÁ</v>
      </c>
      <c r="H3" t="s">
        <v>54</v>
      </c>
      <c r="I3" t="s">
        <v>55</v>
      </c>
      <c r="J3">
        <v>2</v>
      </c>
    </row>
    <row r="4" spans="1:10" x14ac:dyDescent="0.25">
      <c r="A4" t="s">
        <v>0</v>
      </c>
      <c r="B4" t="s">
        <v>3</v>
      </c>
      <c r="C4" t="s">
        <v>23</v>
      </c>
      <c r="D4" s="2" t="s">
        <v>24</v>
      </c>
      <c r="E4" s="1">
        <v>7</v>
      </c>
      <c r="F4" t="str">
        <f t="shared" si="0"/>
        <v>KHÁ</v>
      </c>
      <c r="H4" t="s">
        <v>56</v>
      </c>
      <c r="I4" t="s">
        <v>57</v>
      </c>
    </row>
    <row r="5" spans="1:10" x14ac:dyDescent="0.25">
      <c r="A5" t="s">
        <v>5</v>
      </c>
      <c r="B5" t="s">
        <v>6</v>
      </c>
      <c r="C5" t="s">
        <v>25</v>
      </c>
      <c r="D5" s="2">
        <v>6</v>
      </c>
      <c r="E5" s="1">
        <v>6.5</v>
      </c>
      <c r="F5" t="str">
        <f t="shared" si="0"/>
        <v>KHÁ</v>
      </c>
    </row>
    <row r="6" spans="1:10" x14ac:dyDescent="0.25">
      <c r="A6" t="s">
        <v>5</v>
      </c>
      <c r="B6" t="s">
        <v>2</v>
      </c>
      <c r="C6" t="s">
        <v>26</v>
      </c>
      <c r="D6" s="2" t="s">
        <v>27</v>
      </c>
      <c r="E6" s="1">
        <v>7</v>
      </c>
      <c r="F6" t="str">
        <f t="shared" si="0"/>
        <v>KHÁ</v>
      </c>
      <c r="H6" t="s">
        <v>52</v>
      </c>
      <c r="I6">
        <v>14</v>
      </c>
    </row>
    <row r="7" spans="1:10" x14ac:dyDescent="0.25">
      <c r="A7" t="s">
        <v>7</v>
      </c>
      <c r="B7" t="s">
        <v>6</v>
      </c>
      <c r="C7" t="s">
        <v>28</v>
      </c>
      <c r="D7" s="2" t="s">
        <v>24</v>
      </c>
      <c r="E7" s="1">
        <v>8</v>
      </c>
      <c r="F7" t="str">
        <f t="shared" si="0"/>
        <v>KHÁ</v>
      </c>
      <c r="H7" t="s">
        <v>54</v>
      </c>
      <c r="I7">
        <v>2</v>
      </c>
    </row>
    <row r="8" spans="1:10" x14ac:dyDescent="0.25">
      <c r="A8" t="s">
        <v>7</v>
      </c>
      <c r="B8" t="s">
        <v>8</v>
      </c>
      <c r="C8" t="s">
        <v>29</v>
      </c>
      <c r="D8" s="2" t="s">
        <v>30</v>
      </c>
      <c r="E8" s="1">
        <v>7.5</v>
      </c>
      <c r="F8" t="str">
        <f t="shared" si="0"/>
        <v>KHÁ</v>
      </c>
    </row>
    <row r="9" spans="1:10" x14ac:dyDescent="0.25">
      <c r="A9" t="s">
        <v>9</v>
      </c>
      <c r="B9" t="s">
        <v>10</v>
      </c>
      <c r="C9" t="s">
        <v>31</v>
      </c>
      <c r="D9" s="2" t="s">
        <v>12</v>
      </c>
      <c r="E9" s="1">
        <v>5</v>
      </c>
      <c r="F9" t="str">
        <f t="shared" si="0"/>
        <v>TRUNG BÌNH</v>
      </c>
    </row>
    <row r="10" spans="1:10" x14ac:dyDescent="0.25">
      <c r="A10" t="s">
        <v>11</v>
      </c>
      <c r="B10" t="s">
        <v>32</v>
      </c>
      <c r="C10" t="s">
        <v>33</v>
      </c>
      <c r="D10" s="2" t="s">
        <v>13</v>
      </c>
      <c r="E10" s="1">
        <v>7.4</v>
      </c>
      <c r="F10" t="str">
        <f t="shared" si="0"/>
        <v>KHÁ</v>
      </c>
    </row>
    <row r="11" spans="1:10" x14ac:dyDescent="0.25">
      <c r="A11" t="s">
        <v>11</v>
      </c>
      <c r="B11" t="s">
        <v>34</v>
      </c>
      <c r="C11" t="s">
        <v>35</v>
      </c>
      <c r="D11" s="2" t="s">
        <v>4</v>
      </c>
      <c r="E11" s="1">
        <v>7.4</v>
      </c>
      <c r="F11" t="str">
        <f t="shared" si="0"/>
        <v>KHÁ</v>
      </c>
    </row>
    <row r="12" spans="1:10" x14ac:dyDescent="0.25">
      <c r="A12" t="s">
        <v>11</v>
      </c>
      <c r="B12" t="s">
        <v>36</v>
      </c>
      <c r="C12" t="s">
        <v>37</v>
      </c>
      <c r="D12" s="2" t="s">
        <v>38</v>
      </c>
      <c r="E12" s="1">
        <v>5.9</v>
      </c>
      <c r="F12" t="str">
        <f t="shared" si="0"/>
        <v>TRUNG BÌNH</v>
      </c>
    </row>
    <row r="13" spans="1:10" x14ac:dyDescent="0.25">
      <c r="A13" t="s">
        <v>11</v>
      </c>
      <c r="B13" t="s">
        <v>39</v>
      </c>
      <c r="C13" t="s">
        <v>40</v>
      </c>
      <c r="D13" s="2" t="s">
        <v>12</v>
      </c>
      <c r="E13" s="1">
        <v>7</v>
      </c>
      <c r="F13" t="str">
        <f t="shared" si="0"/>
        <v>KHÁ</v>
      </c>
    </row>
    <row r="14" spans="1:10" x14ac:dyDescent="0.25">
      <c r="A14" t="s">
        <v>11</v>
      </c>
      <c r="B14" t="s">
        <v>41</v>
      </c>
      <c r="C14" t="s">
        <v>42</v>
      </c>
      <c r="D14" s="2">
        <v>5.2</v>
      </c>
      <c r="E14" s="1">
        <v>6.5</v>
      </c>
      <c r="F14" t="str">
        <f t="shared" si="0"/>
        <v>KHÁ</v>
      </c>
    </row>
    <row r="15" spans="1:10" x14ac:dyDescent="0.25">
      <c r="A15" t="s">
        <v>11</v>
      </c>
      <c r="B15" t="s">
        <v>43</v>
      </c>
      <c r="C15" t="s">
        <v>44</v>
      </c>
      <c r="D15" s="2" t="s">
        <v>45</v>
      </c>
      <c r="E15" s="1">
        <v>7</v>
      </c>
      <c r="F15" t="str">
        <f t="shared" si="0"/>
        <v>KHÁ</v>
      </c>
    </row>
    <row r="16" spans="1:10" x14ac:dyDescent="0.25">
      <c r="A16" t="s">
        <v>11</v>
      </c>
      <c r="B16" t="s">
        <v>46</v>
      </c>
      <c r="C16" t="s">
        <v>47</v>
      </c>
      <c r="D16" s="2">
        <v>7.4</v>
      </c>
      <c r="E16" s="1">
        <v>7</v>
      </c>
      <c r="F16" t="str">
        <f t="shared" si="0"/>
        <v>KHÁ</v>
      </c>
    </row>
    <row r="17" spans="1:11" x14ac:dyDescent="0.25">
      <c r="A17" t="s">
        <v>11</v>
      </c>
      <c r="B17" t="s">
        <v>48</v>
      </c>
      <c r="C17" t="s">
        <v>49</v>
      </c>
      <c r="D17" s="2" t="s">
        <v>22</v>
      </c>
      <c r="E17" s="1">
        <v>6.5</v>
      </c>
      <c r="F17" t="str">
        <f>IF(E17&gt;8,"GIỎI", IF(E17&gt;=6.5,"KHÁ", IF(E17&gt;=5,"TRUNG BÌNH","YẾU")))</f>
        <v>KHÁ</v>
      </c>
    </row>
    <row r="20" spans="1:11" x14ac:dyDescent="0.25">
      <c r="G20">
        <v>5</v>
      </c>
      <c r="H20" t="str">
        <f>IF(G20&gt;8,"GIỎI", IF(G20&gt;=6.5,"KHÁ", IF(G20&gt;=5,"TRUNG BÌNH","YẾU")))</f>
        <v>TRUNG BÌNH</v>
      </c>
      <c r="J20" t="s">
        <v>52</v>
      </c>
      <c r="K20">
        <f>COUNTIF($H$20:$H$35,J20)</f>
        <v>9</v>
      </c>
    </row>
    <row r="21" spans="1:11" x14ac:dyDescent="0.25">
      <c r="G21">
        <v>4</v>
      </c>
      <c r="H21" t="str">
        <f t="shared" ref="H21:H35" si="1">IF(G21&gt;8,"GIỎI", IF(G21&gt;=6.5,"KHÁ", IF(G21&gt;=5,"TRUNG BÌNH","YẾU")))</f>
        <v>YẾU</v>
      </c>
      <c r="J21" t="s">
        <v>54</v>
      </c>
      <c r="K21">
        <f>COUNTIF($H$20:$H$35,J21)</f>
        <v>5</v>
      </c>
    </row>
    <row r="22" spans="1:11" x14ac:dyDescent="0.25">
      <c r="G22">
        <v>7.3</v>
      </c>
      <c r="H22" t="str">
        <f t="shared" si="1"/>
        <v>KHÁ</v>
      </c>
      <c r="J22" t="s">
        <v>56</v>
      </c>
      <c r="K22">
        <f>COUNTIF($H$20:$H$35,J22)</f>
        <v>2</v>
      </c>
    </row>
    <row r="23" spans="1:11" x14ac:dyDescent="0.25">
      <c r="G23">
        <v>6</v>
      </c>
      <c r="H23" t="str">
        <f t="shared" si="1"/>
        <v>TRUNG BÌNH</v>
      </c>
    </row>
    <row r="24" spans="1:11" x14ac:dyDescent="0.25">
      <c r="G24">
        <v>5.0999999999999996</v>
      </c>
      <c r="H24" t="str">
        <f t="shared" si="1"/>
        <v>TRUNG BÌNH</v>
      </c>
    </row>
    <row r="25" spans="1:11" x14ac:dyDescent="0.25">
      <c r="G25">
        <v>7.3</v>
      </c>
      <c r="H25" t="str">
        <f t="shared" si="1"/>
        <v>KHÁ</v>
      </c>
    </row>
    <row r="26" spans="1:11" x14ac:dyDescent="0.25">
      <c r="G26">
        <v>7.2</v>
      </c>
      <c r="H26" t="str">
        <f t="shared" si="1"/>
        <v>KHÁ</v>
      </c>
    </row>
    <row r="27" spans="1:11" x14ac:dyDescent="0.25">
      <c r="G27">
        <v>7.5</v>
      </c>
      <c r="H27" t="str">
        <f t="shared" si="1"/>
        <v>KHÁ</v>
      </c>
    </row>
    <row r="28" spans="1:11" x14ac:dyDescent="0.25">
      <c r="G28">
        <v>7.6</v>
      </c>
      <c r="H28" t="str">
        <f t="shared" si="1"/>
        <v>KHÁ</v>
      </c>
    </row>
    <row r="29" spans="1:11" x14ac:dyDescent="0.25">
      <c r="G29">
        <v>7.8</v>
      </c>
      <c r="H29" t="str">
        <f t="shared" si="1"/>
        <v>KHÁ</v>
      </c>
    </row>
    <row r="30" spans="1:11" x14ac:dyDescent="0.25">
      <c r="G30">
        <v>6.8</v>
      </c>
      <c r="H30" t="str">
        <f t="shared" si="1"/>
        <v>KHÁ</v>
      </c>
    </row>
    <row r="31" spans="1:11" x14ac:dyDescent="0.25">
      <c r="G31">
        <v>7.5</v>
      </c>
      <c r="H31" t="str">
        <f t="shared" si="1"/>
        <v>KHÁ</v>
      </c>
    </row>
    <row r="32" spans="1:11" x14ac:dyDescent="0.25">
      <c r="G32">
        <v>5.2</v>
      </c>
      <c r="H32" t="str">
        <f t="shared" si="1"/>
        <v>TRUNG BÌNH</v>
      </c>
    </row>
    <row r="33" spans="7:8" x14ac:dyDescent="0.25">
      <c r="G33">
        <v>6.2</v>
      </c>
      <c r="H33" t="str">
        <f t="shared" si="1"/>
        <v>TRUNG BÌNH</v>
      </c>
    </row>
    <row r="34" spans="7:8" x14ac:dyDescent="0.25">
      <c r="G34">
        <v>7.4</v>
      </c>
      <c r="H34" t="str">
        <f t="shared" si="1"/>
        <v>KHÁ</v>
      </c>
    </row>
    <row r="35" spans="7:8" x14ac:dyDescent="0.25">
      <c r="G35">
        <v>4</v>
      </c>
      <c r="H35" t="str">
        <f t="shared" si="1"/>
        <v>YẾU</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UEH</cp:lastModifiedBy>
  <dcterms:created xsi:type="dcterms:W3CDTF">2025-09-16T07:42:21Z</dcterms:created>
  <dcterms:modified xsi:type="dcterms:W3CDTF">2025-09-25T10:00:53Z</dcterms:modified>
</cp:coreProperties>
</file>