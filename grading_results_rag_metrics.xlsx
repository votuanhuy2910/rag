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mc:AlternateContent xmlns:mc="http://schemas.openxmlformats.org/markup-compatibility/2006">
    <mc:Choice Requires="x15">
      <x15ac:absPath xmlns:x15ac="http://schemas.microsoft.com/office/spreadsheetml/2010/11/ac" url="C:\Users\UEH\Downloads\17. Đề án tốt nghiệp\rag\"/>
    </mc:Choice>
  </mc:AlternateContent>
  <xr:revisionPtr revIDLastSave="0" documentId="13_ncr:1_{7FE7F4F7-4705-47A4-9288-987B0F69600F}" xr6:coauthVersionLast="46" xr6:coauthVersionMax="47" xr10:uidLastSave="{00000000-0000-0000-0000-000000000000}"/>
  <bookViews>
    <workbookView xWindow="-120" yWindow="-120" windowWidth="29040" windowHeight="15840" xr2:uid="{00000000-000D-0000-FFFF-FFFF00000000}"/>
  </bookViews>
  <sheets>
    <sheet name="Sheet" sheetId="1" r:id="rId1"/>
  </sheets>
  <calcPr calcId="191029"/>
</workbook>
</file>

<file path=xl/calcChain.xml><?xml version="1.0" encoding="utf-8"?>
<calcChain xmlns="http://schemas.openxmlformats.org/spreadsheetml/2006/main">
  <c r="O6" i="1" l="1"/>
  <c r="O5" i="1"/>
  <c r="O4" i="1"/>
  <c r="O3"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1" i="1"/>
  <c r="F2" i="1"/>
  <c r="H10" i="1"/>
  <c r="H9"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alcChain>
</file>

<file path=xl/sharedStrings.xml><?xml version="1.0" encoding="utf-8"?>
<sst xmlns="http://schemas.openxmlformats.org/spreadsheetml/2006/main" count="156" uniqueCount="101">
  <si>
    <t>Chiến lược kinh doanh thương mại điện tử</t>
  </si>
  <si>
    <t>nhom1.pdf</t>
  </si>
  <si>
    <t>nhom5.pdf</t>
  </si>
  <si>
    <t>nhom6.pdf</t>
  </si>
  <si>
    <t>7.8</t>
  </si>
  <si>
    <t>Hệ thống thanh toán điện tử</t>
  </si>
  <si>
    <t>nhom2.pdf</t>
  </si>
  <si>
    <t>Marketing kỹ thuật số</t>
  </si>
  <si>
    <t>nhom4.pdf</t>
  </si>
  <si>
    <t>Quản trị dự án thương mại điện tử</t>
  </si>
  <si>
    <t>nhom3.pdf</t>
  </si>
  <si>
    <t>Thương mại điện tử</t>
  </si>
  <si>
    <t>ĐẠI HỌC UEH
TRƯỜNG CÔNG NGHỆ VÀ THIẾT KẾ
KHOA CÔNG NGHỆ THÔNG TIN KINH DOANH
TIỂU LUẬN CUỐI KỲ
ĐỀ TÀI: Phân tích chiến lược thương mại điện tử ở sell-side về
marketing và quảng bá sản phẩm của Cocoon Việt Nam
GVHD: TS.GVC Nguyễn Thành Huy
Tên HP : Chiến lược kinh doanh thương mại điện tử (INF509029)...</t>
  </si>
  <si>
    <t>TRƯỜNG CÔNG NGHỆ VÀ THIẾT KẾ UEH
KHOA CÔNG NGHỆ THÔNG TIN KINH DOANH
BÁO CÁO CUỐI KỲ
BỘ MÔN: CHIẾN LƯỢC KINH DOANH THƯƠNG MẠI ĐIỆN TỬ
ĐỀ TÀI: XÂY DỰNG CHIẾN LƯỢC TIẾP THỊ VÀ QUẢNG CÁO
CHO THƯƠNG HIỆU MỸ PHẨM NAM OHMAN
Giảng viên: TS. Nguyễn Thành Huy
Mã lớp học phần: 23C1INF50902903
Nhóm thực hiện: ...</t>
  </si>
  <si>
    <t>ĐẠI HỌC UEH
TRƯỜNG CÔNG NGHỆ VÀ THIẾT KẾ
KHOA CÔNG NGHỆ THÔNG TIN KINH DOANH
BÁO CÁO CUỐI KỲ
BỘ MÔN: “CHIẾN LƯỢC KINH DOANH THƯƠNG MẠI ĐIỆN TỬ”
ĐỀ TÀI:
“NGHIÊN CỨU VÀ PHÂN TÍCH CHIẾN LƯỢC KINH DOANH
THƯƠNG MẠI ĐIỆN TỬ CỦA CÔNG TY SỮA VINAMILK.”
Giảng viên hướng dẫn: TS. Nguyễn Thành Huy
Mã LHP: 23C1...</t>
  </si>
  <si>
    <t>nhom7.pdf</t>
  </si>
  <si>
    <t>ĐẠI HỌC UEH
TRƯỜNG CÔNG NGHỆ VÀ THIẾT KẾ
KHOA CÔNG NGHỆ THÔNG TIN KINH DOANH
BÁO CÁO TIỂU LUẬN CUỐI KÌ
Bộ môn: Chiến lược kinh doanh Thương mại điện tử
Đề tài: Xây dựng kho hàng thông minh Vinamilk
Giảng viên hướng dẫn : TS. Nguyễn Thành Huy
Mã lớp học phần : 23C1INF50903103
Nhóm thực hiện : Nhóm 7
...</t>
  </si>
  <si>
    <t>nhom8.pdf</t>
  </si>
  <si>
    <t>ĐẠI HỌC KINH TẾ TP. HỒ CHÍ MINH
TRƯỜNG CÔNG NGHỆ VÀ THIẾT KẾ
KHOA CÔNG NGHỆ THÔNG TIN KINH DOANH
BỘ MÔN CÔNG NGHỆ THÔNG TIN
BÁO CÁO ĐỒ ÁN HỌC PHẦN
CHIẾN LƯỢC THƯƠNG MẠI ĐIỆN TỬ
Đề tài: VINASTRAWS – CHIẾN LƯỢC KINH DOANH THƯƠNG
MẠI ĐIỆN TỬ TĂNG CƯỜNG MARKETING VÀ QUẢNG BÁ
THƯƠNG HIỆU
GVHD: GVC.TS NGU...</t>
  </si>
  <si>
    <t>7.5</t>
  </si>
  <si>
    <t>nhom9.pdf</t>
  </si>
  <si>
    <t>BỘ GIÁO DỤC VÀ ĐÀO TẠO
ĐẠI HỌC KINH TẾ TP.HCM
KHOA CÔNG NGHỆ THÔNG TIN KINH DOANH
TIỂU LUẬN CUỐI KỲ
BỘ MÔN : CHIẾN LƯỢC KINH DOANH
THƯƠNG MẠI ĐIỆN TỬ
ĐỀ TÀI :
CHIẾN LƯỢC TIẾP THỊ VÀ QUẢNG BÁ CHO DÒNG SẢN PHẨM
SERUM DƯỠNG SÁNG VÀ MỜ THÂM NÁM L’ORÉAL
GLYCOLIC BRIGHT CỦA THƯƠNG HIỆU L’ORÉAL PARIS
Mã lớ...</t>
  </si>
  <si>
    <t>8.9</t>
  </si>
  <si>
    <t>nhom10.pdf</t>
  </si>
  <si>
    <t>ĐẠI HỌC UEH
TRƯỜNG CÔNG NGHỆ VÀ THIẾT KẾ
KHOA CÔNG NGHỆ THÔNG TIN KINH DOANH
TIỂU LUẬN CUỐI KỲ
BỘ MÔN: “CHIẾN LƯỢC THƯƠNG MẠI ĐIỆN TỬ”
ĐỀ TÀI:
CHIẾN LƯỢC QUẢN LÍ KHO VÀ SẢN PHẨM CHO TỔNG CÔNG TY CỔ PHẦN
=
MAY VIỆT TIẾN
Giảng viên hướng dẫn: TS. Nguyễn Thành Huy
Nhóm thực hiện: Nhóm 10
Mã LHP: 23C1IN...</t>
  </si>
  <si>
    <t>7.85</t>
  </si>
  <si>
    <t>BỘ GIÁO DỤC VÀ ĐÀO TẠO
ĐẠI HỌC KINH TẾ TP. HCM
TRƯỜNG ĐẠI HỌC CÔNG NGHỆ VÀ THIẾT KẾ
Báo cáo cuối kỳ
Đề tài:
PHÂN TÍCH HỆ THỐNG THANH TOÁN
CỦA VÍ ĐIỆN TỬ VNPAY
Bộ môn: Hệ thống thanh toán điện tử
Mã HP : 24D1INF50903001
GVHD : Nguyễn Thành Huy
Nhóm sinh viên thực hiện : Nhóm 1
Danh sách thành viên nh...</t>
  </si>
  <si>
    <t>8.7</t>
  </si>
  <si>
    <t>ĐẠI HỌC UEH
TRƯỜNG CÔNG NGHỆ VÀ THIẾT KẾ
BÁO CÁO CUỐI KỲ
HỆ THỐNG THANH TOÁN ĐIỆN TỬ
Nghiên cứu hệ thống thanh toán điện tử PayPal
Giảng viên: TS. Nguyễn Thành Huy
Nhóm 3
Lưu Nguyễn Minh Thư 31211023346
Phạm Thị Huỳnh Như 31211021160
Bùi Minh Khôi Nguyên 31211021599
Nguyễn Đức Tuấn Anh 31211021114
N...</t>
  </si>
  <si>
    <t>8.0</t>
  </si>
  <si>
    <t>BỘ GIÁO DỤC VÀ ĐÀO TẠO
ĐẠI HỌC KINH TẾ TP. HỒ CHÍ MINH
KHOA CÔNG NGHỆ THÔNG TIN KINH DOANH
DỰ ÁN CUỐI KỲ
HỆ THỐNG THANH TOÁN ĐIỆN TỬ
DỰ ÁN PHÁT TRIỂN HỆ THỐNG THANH TOÁN
VÍ ĐIỆN TỬ TIKIPAY
GIÁO VIÊN HƯỚNG DẪN: TS. NGUYỄN THÀNH HUY
NHÓM 4
1. Sơn Hồng Đức - 31211026003
2. Lê Thị Minh Thư - 31211027087...</t>
  </si>
  <si>
    <t>ĐẠI HỌC KINH TẾ THÀNH PHỐ HỒ CHÍ MINH
KHOA CÔNG NGHỆ THÔNG TIN KINH DOANH
BÁO CÁO ĐỒ ÁN HỌC PHẦN
MÔN: HỆ THỐNG THANH TOÁN ĐIỆN TỬ
Đề tài: Nghiên cứu hệ thống thanh toán bằng QR Code trên ứng dụng
Zalo Pay.
GVHD: TS.GVC Nguyễn Thành Huy
Mã LHP: 24D1INF50903001
Nhóm thực hiện: 6
STT Họ và tên MSSV
1 N...</t>
  </si>
  <si>
    <t>ĐẠI HỌC KINH TẾ TP. HỒ CHÍ MINH (UEH)
TRƯỜNG CÔNG NGHỆ VÀ THIẾT KẾ
KHOA CÔNG NGHỆ THÔNG TIN KINH DOANH
BÁO CÁO ĐỒ ÁN HỌC PHẦN
HỆ THỐNG THANH TOÁN ĐIỆN TỬ
Đề tài: Tìm hiểu về Hệ thống thanh toán Ví điện tử MoMo
Mã HP: 24D1INF50903001
GVHD: TS. Nguyễn Thành Huy
Thành viên nhóm:
1. Phạm Minh Anh - 3121...</t>
  </si>
  <si>
    <t>8.3</t>
  </si>
  <si>
    <t>ĐẠI HỌC KINH TẾ TP.HCM
TRƯỜNG CÔNG NGHỆ VÀ THIẾT KẾ UEH
KHOA CÔNG NGHỆ THÔNG TIN KINH DOANH
TIỂU LUẬN CUỐI KÌ
HỌC PHẦN: MARKETING KỸ THUẬT SỐ
Đề tài: CHIẾN LƯỢC DIGITAL MARKETING CHO THƯƠNG HIỆU
SANEST CỦA CTCP NGK YẾN SÀO KHÁNH HÒA
Giảng viên hướng dẫn T:s .Nguyễn Thành Huy
Sinh viên thực hiện : ...</t>
  </si>
  <si>
    <t>8.8</t>
  </si>
  <si>
    <t>ĐẠI HỌC KINH TẾ THÀNH PHỐ HỒ CHÍ MINH
KHOA CÔNG NGHỆ THÔNG TIN KINH DOANH
BÀI TIỂU LUẬN
MÔN MARKETING KỸ THUẬT SỐ
ĐỀ TÀI
CHIẾN DỊCH MARKETING BUPNON TEA 365
GIẢNG VIÊN: TS. NGUYỄN THÀNH HUY
MÃ LỚP HỌC PHẦN: 24C1INF50903201
LỚP: SÁNG T5
NHÓM: C
DANH SÁCH THÀNH VIÊN
Tên MSSV Đóng góp
Trần Mỹ Thiên Tân...</t>
  </si>
  <si>
    <t>ĐẠI HỌC UEH
TRƯỜNG CÔNG NGHỆ VÀ THIẾT KẾ
KHOA CÔNG NGHỆ THÔNG TIN KINH DOANH
ĐỒ ÁN: XÂY DỰNG CHIẾN LƯỢC MARKETING KỸ THUẬT SỐ CHO
STRONGBOW SPARKLING CIDER
BỘ MÔN MARKETING KỸ THUẬT SỐ
GVHD: TS Nguyễn Thành Huy
Thành viên nhóm E: Nguyễn Lê Trúc Anh
Đỗ Thanh Hoa
Nguyễn Huy Hoàng
Nguyễn Bảo Cát Minh
L...</t>
  </si>
  <si>
    <t>8.6</t>
  </si>
  <si>
    <t xml:space="preserve">
MỤC LỤC
MỤC LỤC ........................................................................................................................... 1
DANH MỤC CÁC BẢNG ................................................................................................. 4
DANH MỤC HÌNH ẢNH ........................</t>
  </si>
  <si>
    <t>Chiến lược Digital Marketing cho sản
phẩm
TH true YOGURT TOP CUP
Môn học: Digital Marketing
Lớp: 24C1INF50903201
Giảng viên hướng dẫn: TS. Nguyễn Thành Huy
Nhóm sinh viên thực hiện: Nhóm H:
Nguyễn Trần Thế Anh 31221026655
Phạm Bằng 31221024364
Nguyễn Huỳnh Hương Giao 31221021656
Trương Phạm Bảo Khan...</t>
  </si>
  <si>
    <t>9.3</t>
  </si>
  <si>
    <t>ĐẠI HỌC KINH TẾ TP. HỒ CHÍ MINH (UEH)
TRƯỜNG CÔNG NGHỆ VÀ THIẾT KẾ
KHOA CÔNG NGHỆ THÔNG TIN KINH DOANH
BÁO CÁO ĐỒ ÁN HỌC PHẦN
QUẢN TRỊ DỰ ÁN THƯƠNG MẠI ĐIỆN TỬ
Đề tài: Khám phá gốm sứ Minh Long
thông qua trải nghiệm tương tác công nghệ AR
GVHD: Nguyễn Thành Huy
LHP: 24C3INF50903101
Nhóm thực hiện:
8...</t>
  </si>
  <si>
    <t>9.2</t>
  </si>
  <si>
    <t>BỘ GIÁO DỤC VÀ ĐÀO TẠO
ĐẠI HỌC KINH TẾ TP. HỒ CHÍ MINH
TRƯỜNG CÔNG NGHỆ VÀ THIẾT KẾ
KHOA CÔNG NGHỆ THÔNG TIN KINH DOANH
BÁO CÁO ĐỒ ÁN HỌC PHẦN
QUẢN TRỊ DỰ ÁN THƯƠNG MẠI ĐIỆN TỬ
ĐỀ TÀI: XÂY DỰNG HỆ THỐNG ĐẶT HÀNG BẰNG
QR CODE CHO CHEESE COFFEE
GIẢNG VIÊN HƯỚNG DẪN : TS. Nguyễn Thành Huy
LỚP HỌC PHẦN ...</t>
  </si>
  <si>
    <t>9.7</t>
  </si>
  <si>
    <t>ĐẠI HỌC KINH TẾ TP. HỒ CHÍ MINH (UEH)
TRƯỜNG CÔNG NGHỆ VÀ THIẾT KẾ
KHOA CÔNG NGHỆ THÔNG TIN KINH DOANH
BÁO CÁO ĐỒ ÁN HỌC PHẦN
Môn học: Quản Trị Dự Án Thương Mại Điện Tử
Đề tài: QUẢN TRỊ DỰ ÁN XÂY DỰNG HỆ THỐNG WEBSITE
BÁN THỰC PHẨM CHO CÔNG TY HEALTHY X3
GVHD: TS. Nguyễn Thành Huy
Nhóm thực hiện: _ ...</t>
  </si>
  <si>
    <t>9.0</t>
  </si>
  <si>
    <t>02_nhom1.pdf</t>
  </si>
  <si>
    <t>ĐẠI HỌC KINH TẾ TPHCM
TRƯỜNG KINH DOANH
KHOA QUẢN TRỊ
–––o0o–––
BÀI TIỂU LUẬN CUỐI KỲ
MÔN THƯƠNG MẠI ĐIỆN TỬ
ĐỀ BÀI: PHÂN TÍCH MÔ HÌNH KINH DOANH THƯƠNG MẠI ĐIỆN TỬ CỦA
KALOTOYS - CÔNG TY CỔ PHẦN KALO
Giảng viên : Nguyễn Thành Huy
Mã lớp học phần : 25D1INF50901302
Nhóm thực hiện : Nhóm A
Thành viên ...</t>
  </si>
  <si>
    <t>7.6</t>
  </si>
  <si>
    <t>02_nhom2.pdf</t>
  </si>
  <si>
    <t>BỘ GIÁO DỤC VÀ ĐÀO TẠO
ĐẠI HỌC KINH TẾ TP HỒ CHÍ MINH
TRƯỜNG CÔNG NGHỆ VÀ THIẾT KẾ
THƯƠNG MẠI ĐIỆN TỬ
ĐỀ TÀI
PHÂN TÍCH MÔ HÌNH THƯƠNG MẠI ĐIỆN TỬ DOANH
NGHIỆP THẾ GIỚI DI ĐỘNG
Danh Sách Nhóm:
1. Lương Phúc Thiên Ân - 31221020084
2. Trần Hải Dương - 31221021851
3. Nguyễn Hoàng Huy - 31221021995
4. Ng...</t>
  </si>
  <si>
    <t>02_nhom3.pdf</t>
  </si>
  <si>
    <t>ĐẠI HỌC KINH TẾ THÀNH PHỐ HỒ CHÍ MINH
TRƯỜNG CÔNG NGHỆ VÀ THIẾT KẾ
KHOA CÔNG NGHỆ THÔNG TIN KINH DOANH
***
BÁO CÁO CUỐI KỲ
MÔN THƯƠNG MẠI ĐIỆN TỬ
ĐỀ TÀI
PHÂN TÍCH HOẠT ĐỘNG THƯƠNG MẠI ĐIỆN TỬ
CỦA CÔNG TY TNHH VNB SPORTS
Mã lớp học phần : 25D1INF50901302
Giảng viên giảng dạy : TS. Nguyễn Thành Huy
NH...</t>
  </si>
  <si>
    <t>9.35</t>
  </si>
  <si>
    <t>02_nhom4.pdf</t>
  </si>
  <si>
    <t>ĐẠI HỌC UEH
TRƯỜNG KINH DOANH
KHOA QUẢN TRỊ
BÁO CÁO CUỐI KỲ
Môn học: Thương mại điện tử
Chủ đề: PHÂN TÍCH HOẠT ĐỘNG THƯƠNG MẠI ĐIỆN TỬ CỦA
PNJ
Giảng viên hướng dẫn: TS. Nguyễn Thành Huy
Mã lớp học phần: 25D1INF50901302
Nhóm sinh viên thực hiện: Nguyễn Hoàng Bảo Long -...</t>
  </si>
  <si>
    <t>9.55</t>
  </si>
  <si>
    <t>02_nhom5.pdf</t>
  </si>
  <si>
    <t>BỘ GIÁO DỤC VÀ ĐÀO TẠO
ĐẠI HỌC KINH TẾ THÀNH PHỐ HỒ CHÍ MINH
-------------□□□------------
KHOA QUẢN TRỊ
MÔN THƯƠNG MẠI ĐIỆN TỬ
TIỂU LUẬN CUỐI KỲ
Giảng viên huớng dẫn : TS. Nguyễn Thành Huy
Nhóm sinh viên thực hiện : Nhóm E
Lớp học phần : 25D1INF50901302
Phòng học – buổi học : N1.301 – ST37
Thành phố...</t>
  </si>
  <si>
    <t>02_nhom6.pdf</t>
  </si>
  <si>
    <t>ĐẠI HỌC KINH TẾ TP. HCM
TRƯỜNG KINH DOANH
KHOA QUẢN TRỊ
DỰ ÁN KẾT THÚC HỌC PHẦN
MÔN: Thương mại điện tử
FPT Retail – FPT Shop
Giảng viên: Nguyễn Thành Huy
Mã lớp học phần: 25D1INF50901302
TP Hồ Chí Minh, ngày 21 tháng 4 năm 2025
1
KẾT QUẢ KIỂM TRA ĐẠO VĂN
2
MỤC LỤC
DANH MỤC BẢNG BIỂU VÀ HÌNH ẢNH ......</t>
  </si>
  <si>
    <t>9.8</t>
  </si>
  <si>
    <t>02_nhom7.pdf</t>
  </si>
  <si>
    <t>ĐẠI HỌC KINH TẾ TPHCM
TRƯỜNG KINH DOANH
KHOA QUẢN TRỊ
BÁO CÁO CUỐI KỲ”
THƯƠNG MẠI ĐIỆN TỬ
ZUROFIX - ỨNG DỤNG THƯƠNG MẠI ĐIỆN TỬ
TRONG NGÀNH DỊCH VỤ CỨU HỘ XE
Thành phố Hồ Chí Minh, ngày 17 tháng 05 năm 2025.
1
DANH SÁCH THÀNH VIÊN - NHÓM G
STT HỌ TÊN MSSV MỨC ĐỘ ĐÓNG GÓP
1 Nguyễn Phạm Kiều Vy 312210...</t>
  </si>
  <si>
    <t>9.5</t>
  </si>
  <si>
    <t>02_nhom8.pdf</t>
  </si>
  <si>
    <t>ĐẠI HỌC KINH TẾ THÀNH PHỐ HỒ CHÍ MINH
KHOA QUẢN TRỊ
~~~~~~*~~~~~~
DỰ ÁN CUỐI KỲ MÔN THƯƠNG MẠI ĐIỆN TỬ
PHÂN TÍCH HOẠT ĐỘNG KINH DOANH THƯƠNG
MẠI ĐIỆN TỬ CỦA CÔNG TY CỔ PHẦN VÀNG BẠC
ĐÁ QUÝ PHÚ NHUẬN (PNJ)
Lớp học phần : 25D1INF50901302
Phòng học – Buổi học : N1-301– Sáng thứ 7
Giảng viên hướng dẫn :...</t>
  </si>
  <si>
    <t>03_nhom2.pdf</t>
  </si>
  <si>
    <t>ĐẠI HỌC KINH TẾ TP. HỒ CHÍ MINH
KHOA CÔNG NGHỆ THÔNG TIN KINH DOANH
BÀI THI KẾT THÚC HỌC PHẦN
BỘ MÔN THƯƠNG MẠI ĐIỆN TỬ
ĐỀ TÀI:
TRIỂN KHAI DỰ ÁN KINH DOANH TẤT (VỚ) H&amp;K TRÊN
MÔ HÌNH ODOO DỰA THEO 8 LUẬN ĐIỂM KINH DOANH
Giảng viên: Nguyễn Thành Huy
Mã lớp học phần: 24D1INF50901303
Nhóm thực hiện: Nhó...</t>
  </si>
  <si>
    <t>8.75</t>
  </si>
  <si>
    <t>03_nhom4.pdf</t>
  </si>
  <si>
    <t>ĐẠI HỌC UEH
TRƯỜNG CÔNG NGHỆ VÀ THIẾT KẾ
KHOA CÔNG NGHỆ THÔNG TIN KINH DOANH
TIỂU LUẬN
MÔN THƯƠNG MẠI ĐIỆN TỬ
ĐỀ TÀI
DỰ ÁN KINH DOANH THƯƠNG MẠI ĐIỆN TỬ
SẢN PHẨM ĐÈN TRANG TRÍ THƯƠNG HIỆU DEE LIGHT
NHÓM D
Giảng viên : Nguyễn Thành Huy
Mã lớp học phần : 24D1INF50901303
Sinh viên
Họ và tên MSSV
Hoàng ...</t>
  </si>
  <si>
    <t>03_nhom5.pdf</t>
  </si>
  <si>
    <t>ĐẠI HỌC UEH
TRƯỜNG CÔNG NGHỆ VÀ THIẾT KẾ
KHOA CNTT KINH DOANH
BÁO CÁO CUỐI KỲ- NHÓM E
ĐỀ TÀI: TRIỂN KHAI DỰ ÁN MÁY ẢNH CANON
TRÊN ODOO DỰA VÀO MÔ HÌNH KINH DOANH
8 YẾU TỐ
Giảng viên : Nguyễn Thành Huy
Mã lớp học phần : 24D1INF50901303
Môn học : Thương mại điện tử
Sinh viên
Họ và tên MSSV
Trần Nữ Hoà...</t>
  </si>
  <si>
    <t>04_nhom1.pdf</t>
  </si>
  <si>
    <t>ĐẠI HỌC KINH TẾ TP. HỒ CHÍ MINH
TRƯỜNG CÔNG NGHỆ VÀ THIẾT KẾ
KHOA CÔNG NGHỆ THÔNG TIN KINH DOANH
BỘ MÔN CÔNG NGHỆ THÔNG TIN
BÁO CÁO ĐỒ ÁN HỌC PHẦN
THƯƠNG MẠI ĐIỆN TỬ
Đề tài: Xây Dựng Website Hỗ Trợ Tìm Nhà Trọ Look4Home
Thành viên nhóm A: Hồ Cẩm Tú – 31211027621
Hoàng Trâm Anh – 31211024886
Lưu Hoàn...</t>
  </si>
  <si>
    <t>04_nhom2.pdf</t>
  </si>
  <si>
    <t>ĐẠI HỌC UEH
TRƯỜNG KINH DOANH
KHOA TOÁN – THỐNG KÊ
BÁO CÁO TRIỂN KHAI DỰ ÁN
MÔN HỌC: THƯƠNG MẠI ĐIỆN TỬ
GIẢNG VIÊN :NGUYỄN THÀNH HUY
MÃ HỌC PHẦN : 24D1INF50901304
KHÓA : K47
Thành phố Hồ Chí Minh, ngày 11 tháng 05 năm 2024
0
DANH SÁCH THÀNH VIÊN NHÓM 4
STT Họ và tên MSSV Mức độ đóng góp
1 Lê Trung D...</t>
  </si>
  <si>
    <t>04_nhom3.pdf</t>
  </si>
  <si>
    <t>ĐẠI HỌC UEH
TRƯỜNG KINH DOANH
CNTK - KHOA CÔNG NGHỆ THÔNG TIN KINH DOANH
KẾT THÚC MÔN HỌC
THƯƠNG MẠI ĐIỆN TỬ
DỰ ÁN ODOO – THIẾT KẾ TRANG WEBSITE BÁN HÀNG
BÁN SẢN PHẨM DECOR TRANH ẢNH BẰNG ĐÈN LED, ĐÈN NEON
KÈM THEO THIẾT KẾ THEO YÊU CẦU
Giảng viên: Nguyễn Thành Huy
Mã lớp học phần: 24D1INF50901304
N...</t>
  </si>
  <si>
    <t>04_nhom7.pdf</t>
  </si>
  <si>
    <t>ĐẠI HỌC UEH
TRƯỜNG KINH DOANH
KHOA QUẢN TRỊ
BÁO CÁO DỰ ÁN CUỐI KÌ
THƯƠNG MẠI ĐIỆN TỬ
NHÓM H
DỰ ÁN ÁO THUN THIẾT KẾ
CUSTIE
TP Hồ Chí Minh, ngày 11 tháng 05 năm 2024
DANH SÁCH THÀNH VIÊN
STT Họ và tên MSSV Phân công Mức độ đóng góp
nhiệm vụ
1 Đậu Anh Tài 31211020637 - Đội ngũ quản 100%
lý
2 Đỗ Trần Đo...</t>
  </si>
  <si>
    <t>04_nhom8.pdf</t>
  </si>
  <si>
    <t>TRƯỜNG ĐẠI HỌC KINH TẾ THÀNH PHỐ HỒ CHÍ MINH
KHOA QUẢN TRỊ
Bài báo cáo cuối kỳ
Môn học Thương mại điện tử
Giảng viên: Nguyễn Thành Huy
Nhóm I
Danh sách thành viên:
Danh sách sinh viên MSSV Mức độ tham gia
Bùi Công Tiến 31211026146 100%
Trần Quốc Tịnh 31211022999 100%
Triệu Quốc Trung 31211020698 100...</t>
  </si>
  <si>
    <t>ten_mon_hoc</t>
  </si>
  <si>
    <t>filename</t>
  </si>
  <si>
    <t>content_essays</t>
  </si>
  <si>
    <t>diem_thuc_te</t>
  </si>
  <si>
    <t>diem_mo_hinh_rag</t>
  </si>
  <si>
    <t>GIỎI</t>
  </si>
  <si>
    <t>&gt;8</t>
  </si>
  <si>
    <t>KHÁ</t>
  </si>
  <si>
    <t>6.5-7.9</t>
  </si>
  <si>
    <t>TRUNG BÌNH</t>
  </si>
  <si>
    <t>5-6.4</t>
  </si>
  <si>
    <t>YẾU</t>
  </si>
  <si>
    <t>&lt;5</t>
  </si>
  <si>
    <t>khá</t>
  </si>
  <si>
    <t>giỏi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</si>
</sst>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7"/>
  <sheetViews>
    <sheetView tabSelected="1" zoomScaleNormal="100" workbookViewId="0">
      <selection activeCell="E18" sqref="E18"/>
    </sheetView>
  </sheetViews>
  <sheetFormatPr defaultRowHeight="15" x14ac:dyDescent="0.25"/>
  <cols>
    <col min="1" max="1" width="39.42578125" bestFit="1" customWidth="1"/>
    <col min="2" max="2" width="13.85546875" bestFit="1" customWidth="1"/>
    <col min="3" max="3" width="51.5703125" customWidth="1"/>
    <col min="4" max="4" width="18.42578125" style="1" bestFit="1" customWidth="1"/>
    <col min="5" max="5" width="13.42578125" style="1" bestFit="1" customWidth="1"/>
    <col min="7" max="8" width="12" bestFit="1" customWidth="1"/>
  </cols>
  <sheetData>
    <row r="1" spans="1:15" x14ac:dyDescent="0.25">
      <c r="A1" t="s">
        <v>86</v>
      </c>
      <c r="B1" t="s">
        <v>87</v>
      </c>
      <c r="C1" t="s">
        <v>88</v>
      </c>
      <c r="D1" s="1" t="s">
        <v>90</v>
      </c>
      <c r="E1" s="1" t="s">
        <v>89</v>
      </c>
      <c r="H1" t="s">
        <v>91</v>
      </c>
      <c r="I1" t="s">
        <v>92</v>
      </c>
      <c r="K1" s="1">
        <v>7.8</v>
      </c>
      <c r="L1" t="str">
        <f>IF(K1&gt;8,"GIỎI", IF(K1&gt;=6.5,"KHÁ", IF(K1&gt;=5,"TRUNG BÌNH","YẾU")))</f>
        <v>KHÁ</v>
      </c>
    </row>
    <row r="2" spans="1:15" x14ac:dyDescent="0.25">
      <c r="A2" t="s">
        <v>0</v>
      </c>
      <c r="B2" t="s">
        <v>6</v>
      </c>
      <c r="C2" t="s">
        <v>12</v>
      </c>
      <c r="D2" s="1" t="s">
        <v>4</v>
      </c>
      <c r="E2" s="1">
        <v>7.5</v>
      </c>
      <c r="F2" t="str">
        <f>IF(E2&gt;8,"GIỎI", IF(E2&gt;=6.5,"KHÁ", IF(E2&gt;=5,"TRUNG BÌNH","YẾU")))</f>
        <v>KHÁ</v>
      </c>
      <c r="H2" t="s">
        <v>93</v>
      </c>
      <c r="I2" t="s">
        <v>94</v>
      </c>
      <c r="K2" s="1">
        <v>7.8</v>
      </c>
      <c r="L2" t="str">
        <f t="shared" ref="L2:L36" si="0">IF(K2&gt;8,"GIỎI", IF(K2&gt;=6.5,"KHÁ", IF(K2&gt;=5,"TRUNG BÌNH","YẾU")))</f>
        <v>KHÁ</v>
      </c>
    </row>
    <row r="3" spans="1:15" x14ac:dyDescent="0.25">
      <c r="A3" t="s">
        <v>0</v>
      </c>
      <c r="B3" t="s">
        <v>10</v>
      </c>
      <c r="C3" t="s">
        <v>13</v>
      </c>
      <c r="D3" s="1" t="s">
        <v>4</v>
      </c>
      <c r="E3" s="1">
        <v>7.5</v>
      </c>
      <c r="F3" t="str">
        <f t="shared" ref="F3:F37" si="1">IF(E3&gt;8,"GIỎI", IF(E3&gt;=6.5,"KHÁ", IF(E3&gt;=5,"TRUNG BÌNH","YẾU")))</f>
        <v>KHÁ</v>
      </c>
      <c r="H3" t="s">
        <v>95</v>
      </c>
      <c r="I3" t="s">
        <v>96</v>
      </c>
      <c r="K3" s="1">
        <v>7.8</v>
      </c>
      <c r="L3" t="str">
        <f t="shared" si="0"/>
        <v>KHÁ</v>
      </c>
      <c r="N3" t="s">
        <v>91</v>
      </c>
      <c r="O3">
        <f>COUNTIF($L$1:$L$36,H1)</f>
        <v>19</v>
      </c>
    </row>
    <row r="4" spans="1:15" x14ac:dyDescent="0.25">
      <c r="A4" t="s">
        <v>0</v>
      </c>
      <c r="B4" t="s">
        <v>8</v>
      </c>
      <c r="C4" t="s">
        <v>14</v>
      </c>
      <c r="D4" s="1" t="s">
        <v>4</v>
      </c>
      <c r="E4" s="1">
        <v>9</v>
      </c>
      <c r="F4" t="str">
        <f t="shared" si="1"/>
        <v>GIỎI</v>
      </c>
      <c r="H4" t="s">
        <v>97</v>
      </c>
      <c r="I4" t="s">
        <v>98</v>
      </c>
      <c r="K4" s="1">
        <v>7.8</v>
      </c>
      <c r="L4" t="str">
        <f t="shared" si="0"/>
        <v>KHÁ</v>
      </c>
      <c r="N4" t="s">
        <v>93</v>
      </c>
      <c r="O4">
        <f>COUNTIF($L$1:$L$36,N4)</f>
        <v>17</v>
      </c>
    </row>
    <row r="5" spans="1:15" x14ac:dyDescent="0.25">
      <c r="A5" t="s">
        <v>0</v>
      </c>
      <c r="B5" t="s">
        <v>15</v>
      </c>
      <c r="C5" t="s">
        <v>16</v>
      </c>
      <c r="D5" s="1" t="s">
        <v>4</v>
      </c>
      <c r="E5" s="1">
        <v>7.5</v>
      </c>
      <c r="F5" t="str">
        <f t="shared" si="1"/>
        <v>KHÁ</v>
      </c>
      <c r="K5" s="1">
        <v>7.5</v>
      </c>
      <c r="L5" t="str">
        <f t="shared" si="0"/>
        <v>KHÁ</v>
      </c>
      <c r="N5" t="s">
        <v>95</v>
      </c>
      <c r="O5">
        <f>COUNTIF($L$1:$L$36,N5)</f>
        <v>0</v>
      </c>
    </row>
    <row r="6" spans="1:15" x14ac:dyDescent="0.25">
      <c r="A6" t="s">
        <v>0</v>
      </c>
      <c r="B6" t="s">
        <v>17</v>
      </c>
      <c r="C6" t="s">
        <v>18</v>
      </c>
      <c r="D6" s="1" t="s">
        <v>19</v>
      </c>
      <c r="E6" s="1">
        <v>7.5</v>
      </c>
      <c r="F6" t="str">
        <f t="shared" si="1"/>
        <v>KHÁ</v>
      </c>
      <c r="K6" s="1">
        <v>8.9</v>
      </c>
      <c r="L6" t="str">
        <f t="shared" si="0"/>
        <v>GIỎI</v>
      </c>
      <c r="N6" t="s">
        <v>97</v>
      </c>
      <c r="O6">
        <f>COUNTIF($L$1:$L$36,N6)</f>
        <v>0</v>
      </c>
    </row>
    <row r="7" spans="1:15" x14ac:dyDescent="0.25">
      <c r="A7" t="s">
        <v>0</v>
      </c>
      <c r="B7" t="s">
        <v>20</v>
      </c>
      <c r="C7" t="s">
        <v>21</v>
      </c>
      <c r="D7" s="1" t="s">
        <v>22</v>
      </c>
      <c r="E7" s="1">
        <v>7</v>
      </c>
      <c r="F7" t="str">
        <f t="shared" si="1"/>
        <v>KHÁ</v>
      </c>
      <c r="K7" s="1">
        <v>7.85</v>
      </c>
      <c r="L7" t="str">
        <f t="shared" si="0"/>
        <v>KHÁ</v>
      </c>
    </row>
    <row r="8" spans="1:15" x14ac:dyDescent="0.25">
      <c r="A8" t="s">
        <v>0</v>
      </c>
      <c r="B8" t="s">
        <v>23</v>
      </c>
      <c r="C8" t="s">
        <v>24</v>
      </c>
      <c r="D8" s="1" t="s">
        <v>25</v>
      </c>
      <c r="E8" s="1">
        <v>7.5</v>
      </c>
      <c r="F8" t="str">
        <f t="shared" si="1"/>
        <v>KHÁ</v>
      </c>
      <c r="K8" s="1">
        <v>8.6999999999999993</v>
      </c>
      <c r="L8" t="str">
        <f t="shared" si="0"/>
        <v>GIỎI</v>
      </c>
    </row>
    <row r="9" spans="1:15" x14ac:dyDescent="0.25">
      <c r="A9" t="s">
        <v>5</v>
      </c>
      <c r="B9" t="s">
        <v>1</v>
      </c>
      <c r="C9" t="s">
        <v>26</v>
      </c>
      <c r="D9" s="1" t="s">
        <v>27</v>
      </c>
      <c r="E9" s="1">
        <v>7.5</v>
      </c>
      <c r="F9" t="str">
        <f t="shared" si="1"/>
        <v>KHÁ</v>
      </c>
      <c r="H9">
        <f>COUNTIF($F$2:$F$37,H2)</f>
        <v>24</v>
      </c>
      <c r="I9" t="s">
        <v>99</v>
      </c>
      <c r="K9" s="1">
        <v>8</v>
      </c>
      <c r="L9" t="str">
        <f t="shared" si="0"/>
        <v>KHÁ</v>
      </c>
    </row>
    <row r="10" spans="1:15" x14ac:dyDescent="0.25">
      <c r="A10" t="s">
        <v>5</v>
      </c>
      <c r="B10" t="s">
        <v>10</v>
      </c>
      <c r="C10" t="s">
        <v>28</v>
      </c>
      <c r="D10" s="1" t="s">
        <v>29</v>
      </c>
      <c r="E10" s="1">
        <v>7.5</v>
      </c>
      <c r="F10" t="str">
        <f t="shared" si="1"/>
        <v>KHÁ</v>
      </c>
      <c r="H10">
        <f>COUNTIF($F$2:$F$37,H1)</f>
        <v>12</v>
      </c>
      <c r="I10" t="s">
        <v>100</v>
      </c>
      <c r="K10" s="1">
        <v>7.8</v>
      </c>
      <c r="L10" t="str">
        <f t="shared" si="0"/>
        <v>KHÁ</v>
      </c>
    </row>
    <row r="11" spans="1:15" x14ac:dyDescent="0.25">
      <c r="A11" t="s">
        <v>5</v>
      </c>
      <c r="B11" t="s">
        <v>8</v>
      </c>
      <c r="C11" t="s">
        <v>30</v>
      </c>
      <c r="D11" s="1">
        <v>7.8</v>
      </c>
      <c r="E11" s="1">
        <v>8</v>
      </c>
      <c r="F11" t="str">
        <f t="shared" si="1"/>
        <v>KHÁ</v>
      </c>
      <c r="K11" s="1">
        <v>8.6999999999999993</v>
      </c>
      <c r="L11" t="str">
        <f t="shared" si="0"/>
        <v>GIỎI</v>
      </c>
    </row>
    <row r="12" spans="1:15" x14ac:dyDescent="0.25">
      <c r="A12" t="s">
        <v>5</v>
      </c>
      <c r="B12" t="s">
        <v>3</v>
      </c>
      <c r="C12" t="s">
        <v>31</v>
      </c>
      <c r="D12" s="1">
        <v>8.6999999999999993</v>
      </c>
      <c r="E12" s="1">
        <v>8</v>
      </c>
      <c r="F12" t="str">
        <f t="shared" si="1"/>
        <v>KHÁ</v>
      </c>
      <c r="K12" s="1">
        <v>8.3000000000000007</v>
      </c>
      <c r="L12" t="str">
        <f t="shared" si="0"/>
        <v>GIỎI</v>
      </c>
    </row>
    <row r="13" spans="1:15" x14ac:dyDescent="0.25">
      <c r="A13" t="s">
        <v>5</v>
      </c>
      <c r="B13" t="s">
        <v>15</v>
      </c>
      <c r="C13" t="s">
        <v>32</v>
      </c>
      <c r="D13" s="1" t="s">
        <v>33</v>
      </c>
      <c r="E13" s="1">
        <v>8</v>
      </c>
      <c r="F13" t="str">
        <f t="shared" si="1"/>
        <v>KHÁ</v>
      </c>
      <c r="K13" s="1">
        <v>8.8000000000000007</v>
      </c>
      <c r="L13" t="str">
        <f t="shared" si="0"/>
        <v>GIỎI</v>
      </c>
    </row>
    <row r="14" spans="1:15" x14ac:dyDescent="0.25">
      <c r="A14" t="s">
        <v>7</v>
      </c>
      <c r="B14" t="s">
        <v>1</v>
      </c>
      <c r="C14" t="s">
        <v>34</v>
      </c>
      <c r="D14" s="1" t="s">
        <v>35</v>
      </c>
      <c r="E14" s="1">
        <v>9.5</v>
      </c>
      <c r="F14" t="str">
        <f t="shared" si="1"/>
        <v>GIỎI</v>
      </c>
      <c r="K14" s="1">
        <v>7.6</v>
      </c>
      <c r="L14" t="str">
        <f t="shared" si="0"/>
        <v>KHÁ</v>
      </c>
    </row>
    <row r="15" spans="1:15" x14ac:dyDescent="0.25">
      <c r="A15" t="s">
        <v>7</v>
      </c>
      <c r="B15" t="s">
        <v>10</v>
      </c>
      <c r="C15" t="s">
        <v>36</v>
      </c>
      <c r="D15" s="1">
        <v>7.6</v>
      </c>
      <c r="E15" s="1">
        <v>8</v>
      </c>
      <c r="F15" t="str">
        <f t="shared" si="1"/>
        <v>KHÁ</v>
      </c>
      <c r="K15" s="1">
        <v>8.6</v>
      </c>
      <c r="L15" t="str">
        <f t="shared" si="0"/>
        <v>GIỎI</v>
      </c>
    </row>
    <row r="16" spans="1:15" x14ac:dyDescent="0.25">
      <c r="A16" t="s">
        <v>7</v>
      </c>
      <c r="B16" t="s">
        <v>2</v>
      </c>
      <c r="C16" t="s">
        <v>37</v>
      </c>
      <c r="D16" s="1" t="s">
        <v>38</v>
      </c>
      <c r="E16" s="1">
        <v>9</v>
      </c>
      <c r="F16" t="str">
        <f t="shared" si="1"/>
        <v>GIỎI</v>
      </c>
      <c r="K16" s="1">
        <v>8.4</v>
      </c>
      <c r="L16" t="str">
        <f t="shared" si="0"/>
        <v>GIỎI</v>
      </c>
    </row>
    <row r="17" spans="1:12" x14ac:dyDescent="0.25">
      <c r="A17" t="s">
        <v>7</v>
      </c>
      <c r="B17" t="s">
        <v>3</v>
      </c>
      <c r="C17" t="s">
        <v>39</v>
      </c>
      <c r="D17" s="1">
        <v>8.4</v>
      </c>
      <c r="E17" s="1">
        <v>8</v>
      </c>
      <c r="F17" t="str">
        <f t="shared" si="1"/>
        <v>KHÁ</v>
      </c>
      <c r="K17" s="1">
        <v>9.3000000000000007</v>
      </c>
      <c r="L17" t="str">
        <f t="shared" si="0"/>
        <v>GIỎI</v>
      </c>
    </row>
    <row r="18" spans="1:12" x14ac:dyDescent="0.25">
      <c r="A18" t="s">
        <v>7</v>
      </c>
      <c r="B18" t="s">
        <v>15</v>
      </c>
      <c r="C18" t="s">
        <v>40</v>
      </c>
      <c r="D18" s="1" t="s">
        <v>41</v>
      </c>
      <c r="E18" s="1">
        <v>9</v>
      </c>
      <c r="F18" t="str">
        <f t="shared" si="1"/>
        <v>GIỎI</v>
      </c>
      <c r="K18" s="1">
        <v>9.1999999999999993</v>
      </c>
      <c r="L18" t="str">
        <f t="shared" si="0"/>
        <v>GIỎI</v>
      </c>
    </row>
    <row r="19" spans="1:12" x14ac:dyDescent="0.25">
      <c r="A19" t="s">
        <v>9</v>
      </c>
      <c r="B19" t="s">
        <v>1</v>
      </c>
      <c r="C19" t="s">
        <v>42</v>
      </c>
      <c r="D19" s="1" t="s">
        <v>43</v>
      </c>
      <c r="E19" s="1">
        <v>9</v>
      </c>
      <c r="F19" t="str">
        <f t="shared" si="1"/>
        <v>GIỎI</v>
      </c>
      <c r="K19" s="1">
        <v>9.6999999999999993</v>
      </c>
      <c r="L19" t="str">
        <f t="shared" si="0"/>
        <v>GIỎI</v>
      </c>
    </row>
    <row r="20" spans="1:12" x14ac:dyDescent="0.25">
      <c r="A20" t="s">
        <v>9</v>
      </c>
      <c r="B20" t="s">
        <v>6</v>
      </c>
      <c r="C20" t="s">
        <v>44</v>
      </c>
      <c r="D20" s="1" t="s">
        <v>45</v>
      </c>
      <c r="E20" s="1">
        <v>9</v>
      </c>
      <c r="F20" t="str">
        <f t="shared" si="1"/>
        <v>GIỎI</v>
      </c>
      <c r="K20" s="1">
        <v>9</v>
      </c>
      <c r="L20" t="str">
        <f t="shared" si="0"/>
        <v>GIỎI</v>
      </c>
    </row>
    <row r="21" spans="1:12" x14ac:dyDescent="0.25">
      <c r="A21" t="s">
        <v>9</v>
      </c>
      <c r="B21" t="s">
        <v>8</v>
      </c>
      <c r="C21" t="s">
        <v>46</v>
      </c>
      <c r="D21" s="1" t="s">
        <v>47</v>
      </c>
      <c r="E21" s="1">
        <v>8</v>
      </c>
      <c r="F21" t="str">
        <f t="shared" si="1"/>
        <v>KHÁ</v>
      </c>
      <c r="K21" s="1">
        <v>7.6</v>
      </c>
      <c r="L21" t="str">
        <f t="shared" si="0"/>
        <v>KHÁ</v>
      </c>
    </row>
    <row r="22" spans="1:12" x14ac:dyDescent="0.25">
      <c r="A22" t="s">
        <v>11</v>
      </c>
      <c r="B22" t="s">
        <v>48</v>
      </c>
      <c r="C22" t="s">
        <v>49</v>
      </c>
      <c r="D22" s="1" t="s">
        <v>50</v>
      </c>
      <c r="E22" s="1">
        <v>8.9</v>
      </c>
      <c r="F22" t="str">
        <f t="shared" si="1"/>
        <v>GIỎI</v>
      </c>
      <c r="K22" s="1">
        <v>9.35</v>
      </c>
      <c r="L22" t="str">
        <f t="shared" si="0"/>
        <v>GIỎI</v>
      </c>
    </row>
    <row r="23" spans="1:12" x14ac:dyDescent="0.25">
      <c r="A23" t="s">
        <v>11</v>
      </c>
      <c r="B23" t="s">
        <v>51</v>
      </c>
      <c r="C23" t="s">
        <v>52</v>
      </c>
      <c r="D23" s="1">
        <v>9.35</v>
      </c>
      <c r="E23" s="1">
        <v>8.6</v>
      </c>
      <c r="F23" t="str">
        <f t="shared" si="1"/>
        <v>GIỎI</v>
      </c>
      <c r="K23" s="1">
        <v>9.35</v>
      </c>
      <c r="L23" t="str">
        <f t="shared" si="0"/>
        <v>GIỎI</v>
      </c>
    </row>
    <row r="24" spans="1:12" x14ac:dyDescent="0.25">
      <c r="A24" t="s">
        <v>11</v>
      </c>
      <c r="B24" t="s">
        <v>53</v>
      </c>
      <c r="C24" t="s">
        <v>54</v>
      </c>
      <c r="D24" s="1" t="s">
        <v>55</v>
      </c>
      <c r="E24" s="1">
        <v>7.8</v>
      </c>
      <c r="F24" t="str">
        <f t="shared" si="1"/>
        <v>KHÁ</v>
      </c>
      <c r="K24" s="1">
        <v>9.5500000000000007</v>
      </c>
      <c r="L24" t="str">
        <f t="shared" si="0"/>
        <v>GIỎI</v>
      </c>
    </row>
    <row r="25" spans="1:12" x14ac:dyDescent="0.25">
      <c r="A25" t="s">
        <v>11</v>
      </c>
      <c r="B25" t="s">
        <v>56</v>
      </c>
      <c r="C25" t="s">
        <v>57</v>
      </c>
      <c r="D25" s="1" t="s">
        <v>58</v>
      </c>
      <c r="E25" s="1">
        <v>7.8</v>
      </c>
      <c r="F25" t="str">
        <f t="shared" si="1"/>
        <v>KHÁ</v>
      </c>
      <c r="K25" s="1">
        <v>6.8</v>
      </c>
      <c r="L25" t="str">
        <f t="shared" si="0"/>
        <v>KHÁ</v>
      </c>
    </row>
    <row r="26" spans="1:12" x14ac:dyDescent="0.25">
      <c r="A26" t="s">
        <v>11</v>
      </c>
      <c r="B26" t="s">
        <v>59</v>
      </c>
      <c r="C26" t="s">
        <v>60</v>
      </c>
      <c r="D26" s="1">
        <v>6.8</v>
      </c>
      <c r="E26" s="1">
        <v>7.5</v>
      </c>
      <c r="F26" t="str">
        <f t="shared" si="1"/>
        <v>KHÁ</v>
      </c>
      <c r="K26" s="1">
        <v>9.8000000000000007</v>
      </c>
      <c r="L26" t="str">
        <f t="shared" si="0"/>
        <v>GIỎI</v>
      </c>
    </row>
    <row r="27" spans="1:12" x14ac:dyDescent="0.25">
      <c r="A27" t="s">
        <v>11</v>
      </c>
      <c r="B27" t="s">
        <v>61</v>
      </c>
      <c r="C27" t="s">
        <v>62</v>
      </c>
      <c r="D27" s="1" t="s">
        <v>63</v>
      </c>
      <c r="E27" s="1">
        <v>9.5</v>
      </c>
      <c r="F27" t="str">
        <f t="shared" si="1"/>
        <v>GIỎI</v>
      </c>
      <c r="K27" s="1">
        <v>9.5</v>
      </c>
      <c r="L27" t="str">
        <f t="shared" si="0"/>
        <v>GIỎI</v>
      </c>
    </row>
    <row r="28" spans="1:12" x14ac:dyDescent="0.25">
      <c r="A28" t="s">
        <v>11</v>
      </c>
      <c r="B28" t="s">
        <v>64</v>
      </c>
      <c r="C28" t="s">
        <v>65</v>
      </c>
      <c r="D28" s="1" t="s">
        <v>66</v>
      </c>
      <c r="E28" s="1">
        <v>8.6</v>
      </c>
      <c r="F28" t="str">
        <f t="shared" si="1"/>
        <v>GIỎI</v>
      </c>
      <c r="K28" s="1">
        <v>9.5</v>
      </c>
      <c r="L28" t="str">
        <f t="shared" si="0"/>
        <v>GIỎI</v>
      </c>
    </row>
    <row r="29" spans="1:12" x14ac:dyDescent="0.25">
      <c r="A29" t="s">
        <v>11</v>
      </c>
      <c r="B29" t="s">
        <v>67</v>
      </c>
      <c r="C29" t="s">
        <v>68</v>
      </c>
      <c r="D29" s="1" t="s">
        <v>66</v>
      </c>
      <c r="E29" s="1">
        <v>9.5</v>
      </c>
      <c r="F29" t="str">
        <f t="shared" si="1"/>
        <v>GIỎI</v>
      </c>
      <c r="K29" s="1">
        <v>8.75</v>
      </c>
      <c r="L29" t="str">
        <f t="shared" si="0"/>
        <v>GIỎI</v>
      </c>
    </row>
    <row r="30" spans="1:12" x14ac:dyDescent="0.25">
      <c r="A30" t="s">
        <v>11</v>
      </c>
      <c r="B30" t="s">
        <v>69</v>
      </c>
      <c r="C30" t="s">
        <v>70</v>
      </c>
      <c r="D30" s="1" t="s">
        <v>71</v>
      </c>
      <c r="E30" s="1">
        <v>8.5</v>
      </c>
      <c r="F30" t="str">
        <f t="shared" si="1"/>
        <v>GIỎI</v>
      </c>
      <c r="K30" s="1">
        <v>8.75</v>
      </c>
      <c r="L30" t="str">
        <f t="shared" si="0"/>
        <v>GIỎI</v>
      </c>
    </row>
    <row r="31" spans="1:12" x14ac:dyDescent="0.25">
      <c r="A31" t="s">
        <v>11</v>
      </c>
      <c r="B31" t="s">
        <v>72</v>
      </c>
      <c r="C31" t="s">
        <v>73</v>
      </c>
      <c r="D31" s="1" t="s">
        <v>71</v>
      </c>
      <c r="E31" s="1">
        <v>8</v>
      </c>
      <c r="F31" t="str">
        <f t="shared" si="1"/>
        <v>KHÁ</v>
      </c>
      <c r="K31" s="1">
        <v>7.8</v>
      </c>
      <c r="L31" t="str">
        <f t="shared" si="0"/>
        <v>KHÁ</v>
      </c>
    </row>
    <row r="32" spans="1:12" x14ac:dyDescent="0.25">
      <c r="A32" t="s">
        <v>11</v>
      </c>
      <c r="B32" t="s">
        <v>74</v>
      </c>
      <c r="C32" t="s">
        <v>75</v>
      </c>
      <c r="D32" s="1" t="s">
        <v>4</v>
      </c>
      <c r="E32" s="1">
        <v>7.5</v>
      </c>
      <c r="F32" t="str">
        <f t="shared" si="1"/>
        <v>KHÁ</v>
      </c>
      <c r="K32" s="1">
        <v>7.8</v>
      </c>
      <c r="L32" t="str">
        <f t="shared" si="0"/>
        <v>KHÁ</v>
      </c>
    </row>
    <row r="33" spans="1:12" x14ac:dyDescent="0.25">
      <c r="A33" t="s">
        <v>11</v>
      </c>
      <c r="B33" t="s">
        <v>76</v>
      </c>
      <c r="C33" t="s">
        <v>77</v>
      </c>
      <c r="D33" s="1" t="s">
        <v>4</v>
      </c>
      <c r="E33" s="1">
        <v>8</v>
      </c>
      <c r="F33" t="str">
        <f t="shared" si="1"/>
        <v>KHÁ</v>
      </c>
      <c r="K33" s="1">
        <v>7.8</v>
      </c>
      <c r="L33" t="str">
        <f t="shared" si="0"/>
        <v>KHÁ</v>
      </c>
    </row>
    <row r="34" spans="1:12" x14ac:dyDescent="0.25">
      <c r="A34" t="s">
        <v>11</v>
      </c>
      <c r="B34" t="s">
        <v>78</v>
      </c>
      <c r="C34" t="s">
        <v>79</v>
      </c>
      <c r="D34" s="1" t="s">
        <v>4</v>
      </c>
      <c r="E34" s="1">
        <v>7</v>
      </c>
      <c r="F34" t="str">
        <f t="shared" si="1"/>
        <v>KHÁ</v>
      </c>
      <c r="K34" s="1">
        <v>7.3</v>
      </c>
      <c r="L34" t="str">
        <f t="shared" si="0"/>
        <v>KHÁ</v>
      </c>
    </row>
    <row r="35" spans="1:12" x14ac:dyDescent="0.25">
      <c r="A35" t="s">
        <v>11</v>
      </c>
      <c r="B35" t="s">
        <v>80</v>
      </c>
      <c r="C35" t="s">
        <v>81</v>
      </c>
      <c r="D35" s="1">
        <v>7.3</v>
      </c>
      <c r="E35" s="1">
        <v>7.5</v>
      </c>
      <c r="F35" t="str">
        <f t="shared" si="1"/>
        <v>KHÁ</v>
      </c>
      <c r="K35" s="1">
        <v>7.8</v>
      </c>
      <c r="L35" t="str">
        <f t="shared" si="0"/>
        <v>KHÁ</v>
      </c>
    </row>
    <row r="36" spans="1:12" x14ac:dyDescent="0.25">
      <c r="A36" t="s">
        <v>11</v>
      </c>
      <c r="B36" t="s">
        <v>82</v>
      </c>
      <c r="C36" t="s">
        <v>83</v>
      </c>
      <c r="D36" s="1" t="s">
        <v>4</v>
      </c>
      <c r="E36" s="1">
        <v>8</v>
      </c>
      <c r="F36" t="str">
        <f t="shared" si="1"/>
        <v>KHÁ</v>
      </c>
      <c r="K36" s="1">
        <v>7.8</v>
      </c>
      <c r="L36" t="str">
        <f t="shared" si="0"/>
        <v>KHÁ</v>
      </c>
    </row>
    <row r="37" spans="1:12" x14ac:dyDescent="0.25">
      <c r="A37" t="s">
        <v>11</v>
      </c>
      <c r="B37" t="s">
        <v>84</v>
      </c>
      <c r="C37" t="s">
        <v>85</v>
      </c>
      <c r="D37" s="1" t="s">
        <v>4</v>
      </c>
      <c r="E37" s="1">
        <v>7.5</v>
      </c>
      <c r="F37" t="str">
        <f t="shared" si="1"/>
        <v>KHÁ</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UEH</cp:lastModifiedBy>
  <dcterms:created xsi:type="dcterms:W3CDTF">2025-09-16T07:42:21Z</dcterms:created>
  <dcterms:modified xsi:type="dcterms:W3CDTF">2025-09-25T10:00:51Z</dcterms:modified>
</cp:coreProperties>
</file>